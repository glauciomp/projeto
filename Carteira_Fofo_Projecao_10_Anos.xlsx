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structure.xml" ContentType="application/vnd.ms-excel.rdrichvaluestructure+xml"/>
  <Override PartName="/xl/persons/person.xml" ContentType="application/vnd.ms-excel.person+xml"/>
  <Override PartName="/xl/richData/rdrichvalue.xml" ContentType="application/vnd.ms-excel.rdrichvalue+xml"/>
  <Override PartName="/xl/richData/rdRichValueTypes.xml" ContentType="application/vnd.ms-excel.rdrichvaluetypes+xml"/>
  <Override PartName="/xl/richData/rdsupportingpropertybag.xml" ContentType="application/vnd.ms-excel.rdsupportingpropertybag+xml"/>
  <Override PartName="/xl/richData/rdsupportingpropertybagstructure.xml" ContentType="application/vnd.ms-excel.rdsupportingpropertybagstructure+xml"/>
  <Override PartName="/xl/richData/richStyles.xml" ContentType="application/vnd.ms-excel.richstyles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05" yWindow="-105" windowWidth="23250" windowHeight="12450"/>
  </bookViews>
  <sheets>
    <sheet name="Carteira Inicial" sheetId="1" r:id="rId1"/>
  </sheets>
  <definedNames>
    <definedName name="_xlnm._FilterDatabase" localSheetId="0" hidden="1">'Carteira Inicial'!$A$1:$L$1</definedName>
  </definedName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" i="1" l="1"/>
</calcChain>
</file>

<file path=xl/comments1.xml><?xml version="1.0" encoding="utf-8"?>
<comments xmlns="http://schemas.openxmlformats.org/spreadsheetml/2006/main">
  <authors>
    <author>tc={9F137BCE-DC4F-43AD-A307-D2584A9374A3}</author>
  </authors>
  <commentList>
    <comment ref="H6" authorId="0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14/10/2025 - R$ 31,03</t>
        </r>
      </text>
    </comment>
  </commentList>
</comments>
</file>

<file path=xl/sharedStrings.xml><?xml version="1.0" encoding="utf-8"?>
<sst xmlns="http://schemas.openxmlformats.org/spreadsheetml/2006/main" count="56" uniqueCount="51">
  <si>
    <t>Ativo</t>
  </si>
  <si>
    <t>Tipo</t>
  </si>
  <si>
    <t>Alocação (R$)</t>
  </si>
  <si>
    <t>Yield Anual (%)</t>
  </si>
  <si>
    <t>Cotas aproximado</t>
  </si>
  <si>
    <t>Cotação atual</t>
  </si>
  <si>
    <t>Dividendos 04/09/2025</t>
  </si>
  <si>
    <t>Dividendos x cotas aproximado</t>
  </si>
  <si>
    <t>Ticker</t>
  </si>
  <si>
    <t>Custodiado</t>
  </si>
  <si>
    <t>Faltante</t>
  </si>
  <si>
    <t>Observação</t>
  </si>
  <si>
    <t>Ação Mineração</t>
  </si>
  <si>
    <t>Ação Banco</t>
  </si>
  <si>
    <t>Ação Elétrica</t>
  </si>
  <si>
    <t>Ação Petróleo</t>
  </si>
  <si>
    <t>FII Papel</t>
  </si>
  <si>
    <t>FII Logístico</t>
  </si>
  <si>
    <t>FII CRI</t>
  </si>
  <si>
    <t>aportando aqui</t>
  </si>
  <si>
    <t>FII Agro</t>
  </si>
  <si>
    <t>FII Varejo</t>
  </si>
  <si>
    <t>VALE S.A. (BVMF:VALE3)</t>
  </si>
  <si>
    <t>VALE3</t>
  </si>
  <si>
    <t>Banco do Brasil S.A. (BVMF:BBAS3)</t>
  </si>
  <si>
    <t>BBAS3</t>
  </si>
  <si>
    <t>ISA ENERGIA BRASIL S.A. (BVMF:ISAE4)</t>
  </si>
  <si>
    <t>ISAE4</t>
  </si>
  <si>
    <t xml:space="preserve">R$ -   </t>
  </si>
  <si>
    <t>Companhia Energética de Minas Gerais - CEMIG (BVMF:CMIG4)</t>
  </si>
  <si>
    <t>CMIG4</t>
  </si>
  <si>
    <t>HECTARE CE FDO INV IMOB REIT (BVMF:HCTR11)</t>
  </si>
  <si>
    <t>HCTR11</t>
  </si>
  <si>
    <t>XP LOG FDO INV IMOB CF (BVMF:XPLG11)</t>
  </si>
  <si>
    <t>XPLG11</t>
  </si>
  <si>
    <t>TRANSMISSORA ALIANCA UNT (BVMF:TAEE11)</t>
  </si>
  <si>
    <t>TAEE11</t>
  </si>
  <si>
    <t>FDO INV IMOB VBI CRI ETF (BVMF:PCIP11)</t>
  </si>
  <si>
    <t>PCIP11</t>
  </si>
  <si>
    <t>FDO DE INV IMOB RIZA TERRAX CF (BVMF:RZTR11)</t>
  </si>
  <si>
    <t>RZTR11</t>
  </si>
  <si>
    <t>Petróleo Brasileiro S.A. (Petrobras) (BVMF:PETR4)</t>
  </si>
  <si>
    <t>PETR4</t>
  </si>
  <si>
    <t>FDO INV IMOB KINEA RENDIMENTOS ETF (BVMF:KNCR11)</t>
  </si>
  <si>
    <t>KNCR11</t>
  </si>
  <si>
    <t>Itaú Unibanco Holding S.A. (BVMF:ITUB4)</t>
  </si>
  <si>
    <t>ITUB4</t>
  </si>
  <si>
    <t>VINCI SHOPPING CENTERS FDO INVEST IMOB CF (BVMF:VISC11)</t>
  </si>
  <si>
    <t>VISC11</t>
  </si>
  <si>
    <t>Início do Projeto</t>
  </si>
  <si>
    <t>Prazo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</si>
</sst>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_-[$R$-416]\ * #,##0.00_-;\-[$R$-416]\ * #,##0.00_-;_-[$R$-416]\ * &quot;-&quot;??_-;_-@_-"/>
  </numFmts>
  <fonts count="4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9">
    <xf numFmtId="0" fontId="0" fillId="0" borderId="0" xfId="0"/>
    <xf numFmtId="44" fontId="0" fillId="0" borderId="0" xfId="1" applyFont="1"/>
    <xf numFmtId="164" fontId="0" fillId="0" borderId="0" xfId="0" applyNumberFormat="1"/>
    <xf numFmtId="0" fontId="0" fillId="2" borderId="0" xfId="0" applyFill="1"/>
    <xf numFmtId="44" fontId="0" fillId="2" borderId="0" xfId="1" applyFont="1" applyFill="1"/>
    <xf numFmtId="3" fontId="0" fillId="0" borderId="0" xfId="0" applyNumberForma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 wrapText="1"/>
    </xf>
    <xf numFmtId="0" fontId="0" fillId="3" borderId="0" xfId="1" applyNumberFormat="1" applyFont="1" applyFill="1"/>
    <xf numFmtId="164" fontId="0" fillId="3" borderId="0" xfId="1" applyNumberFormat="1" applyFont="1" applyFill="1"/>
    <xf numFmtId="164" fontId="0" fillId="3" borderId="0" xfId="0" applyNumberFormat="1" applyFill="1"/>
    <xf numFmtId="44" fontId="0" fillId="0" borderId="0" xfId="0" applyNumberFormat="1"/>
    <xf numFmtId="2" fontId="0" fillId="0" borderId="0" xfId="1" applyNumberFormat="1" applyFont="1"/>
    <xf numFmtId="0" fontId="1" fillId="3" borderId="0" xfId="0" applyFont="1" applyFill="1" applyAlignment="1">
      <alignment horizontal="center" vertical="center" wrapText="1"/>
    </xf>
    <xf numFmtId="8" fontId="0" fillId="2" borderId="0" xfId="1" applyNumberFormat="1" applyFont="1" applyFill="1"/>
    <xf numFmtId="14" fontId="0" fillId="0" borderId="0" xfId="0" applyNumberFormat="1"/>
  </cellXfs>
  <cellStyles count="2">
    <cellStyle name="Moeda" xfId="1" builtinId="4"/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13" Type="http://schemas.microsoft.com/office/2017/10/relationships/person" Target="persons/person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12" Type="http://schemas.microsoft.com/office/2017/06/relationships/rdRichValueTypes" Target="richData/rdRichValueTyp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11" Type="http://schemas.microsoft.com/office/2017/06/relationships/rdSupportingPropertyBag" Target="richData/rdsupportingpropertybag.xml"/><Relationship Id="rId5" Type="http://schemas.openxmlformats.org/officeDocument/2006/relationships/calcChain" Target="calcChain.xml"/><Relationship Id="rId10" Type="http://schemas.microsoft.com/office/2017/06/relationships/rdSupportingPropertyBagStructure" Target="richData/rdsupportingpropertybagstructure.xml"/><Relationship Id="rId4" Type="http://schemas.openxmlformats.org/officeDocument/2006/relationships/sharedStrings" Target="sharedStrings.xml"/><Relationship Id="rId9" Type="http://schemas.microsoft.com/office/2017/06/relationships/richStyles" Target="richData/rich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Gláucio M Pereira" id="{B9514FD4-10C5-495F-BE9B-5F7774BF5DD5}" userId="d17072b9fe1341c0" providerId="Windows Live"/>
</personList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  <types>
    <type name="_linkedentity">
      <keyFlags>
        <key name="%cvi">
          <flag name="ShowInCardView" value="0"/>
          <flag name="ShowInDotNotation" value="0"/>
          <flag name="ShowInAutoComplete" value="0"/>
          <flag name="ExcludeFromCalcComparison" value="1"/>
        </key>
      </keyFlags>
    </type>
    <type name="_linkedentitycore">
      <keyFlags>
        <key name="%EntityServiceId">
          <flag name="ShowInCardView" value="0"/>
          <flag name="ShowInDotNotation" value="0"/>
          <flag name="ShowInAutoComplete" value="0"/>
        </key>
        <key name="%EntitySubDomainId">
          <flag name="ShowInCardView" value="0"/>
          <flag name="ShowInDotNotation" value="0"/>
          <flag name="ShowInAutoComplete" value="0"/>
        </key>
        <key name="%EntityCulture">
          <flag name="ShowInCardView" value="0"/>
          <flag name="ShowInDotNotation" value="0"/>
          <flag name="ShowInAutoComplete" value="0"/>
        </key>
        <key name="%EntityId">
          <flag name="ShowInCardView" value="0"/>
          <flag name="ShowInDotNotation" value="0"/>
          <flag name="ShowInAutoComplete" value="0"/>
        </key>
        <key name="%IsRefreshable">
          <flag name="ShowInCardView" value="0"/>
          <flag name="ShowInAutoComplete" value="0"/>
          <flag name="ExcludeFromCalcComparison" value="1"/>
        </key>
        <key name="%ProviderInfo">
          <flag name="ShowInCardView" value="0"/>
          <flag name="ShowInDotNotation" value="0"/>
          <flag name="ShowInAutoComplete" value="0"/>
        </key>
        <key name="%DataProviderExternalLinkLogo">
          <flag name="ShowInCardView" value="0"/>
          <flag name="ShowInDotNotation" value="0"/>
          <flag name="ShowInAutoComplete" value="0"/>
        </key>
        <key name="%DataProviderExternalLink">
          <flag name="ShowInCardView" value="0"/>
          <flag name="ShowInDotNotation" value="0"/>
          <flag name="ShowInAutoComplete" value="0"/>
        </key>
        <key name="%OutdatedReason">
          <flag name="ShowInCardView" value="0"/>
          <flag name="ShowInDotNotation" value="0"/>
          <flag name="ShowInAutoComplete" value="0"/>
          <flag name="ExcludeFromCalcComparison" value="1"/>
        </key>
      </keyFlags>
    </type>
  </types>
</rvTypesInfo>
</file>

<file path=xl/richData/rdrichvalue.xml><?xml version="1.0" encoding="utf-8"?>
<rvData xmlns="http://schemas.microsoft.com/office/spreadsheetml/2017/richdata" count="39">
  <rv s="0">
    <v>https://www.bing.com/financeapi/forcetrigger?t=apnjsm&amp;q=BVMF%3aVALE3&amp;form=skydnc</v>
    <v>Learn more on Bing</v>
  </rv>
  <rv s="1">
    <v>pt-BR</v>
    <v>apnjsm</v>
    <v>268435456</v>
    <v>1</v>
    <v>Da plataforma Refinitiv</v>
    <v>0</v>
    <v>1</v>
    <v>VALE S.A. (BVMF:VALE3)</v>
    <v>3</v>
    <v>4</v>
    <v>Finance</v>
    <v>5</v>
    <v>61.35</v>
    <v>47.12</v>
    <v>BVMF</v>
    <v>4539008000</v>
    <v>61.05</v>
    <v>1943</v>
    <v>60.57</v>
    <v>0.79820000000000002</v>
    <v>B3 - Brazil Stock Exchange</v>
    <v>276062466560</v>
    <v>A Vale SA, antiga Companhia Vale do Rio Doce, é uma empresa brasileira de metal e mineração que atua principalmente na produção de minério de ferro e níquel. A empresa também produz pelotas de minério de ferro, cobre, metais do grupo platina (PGMs), ouro, prata e cobalto. A Vale está envolvida na exploração mineral verde em cinco países e opera sistemas logísticos no Brasil e em outras regiões do mundo, incluindo ferrovias, terminais marítimos e portos, que são integrados às operações de mineração. Além disso, a Vale possui centros de distribuição para apoiar a entrega de minério de ferro em todo o mundo. A Vale possui inúmeras subsidiárias, incluindo a Vale Logistica Uruguay SA, Vale Holdings BV, Vale Overseas Ltd As operações da Companhia no exterior abrangem aproximadamente 30 países.</v>
    <v>BVMF</v>
    <v>60.9</v>
    <v>64616</v>
    <v>45951.752754247653</v>
    <v>0</v>
    <v>24385180</v>
    <v>BRL</v>
    <v>VALE S.A.</v>
    <v>VALE S.A.</v>
    <v>60.65</v>
    <v>60.82</v>
    <v>Torre Oscar Niemeyer, Praia de Botafogo n 186 Salas 1101 1701 1801, Botafogo, RIO DE JANEIRO, RIO DE JANEIRO, 22.250-145 BR</v>
    <v>Metals &amp; Mining</v>
    <v>VALE3</v>
    <v>Ações</v>
    <v>VALE S.A. (BVMF:VALE3)</v>
    <v>-0.08</v>
    <v>-1.3139999999999998E-3</v>
    <v>6029000</v>
  </rv>
  <rv s="2">
    <v>1</v>
  </rv>
  <rv s="0">
    <v>https://www.bing.com/financeapi/forcetrigger?t=aplygh&amp;q=BVMF%3aBBAS3&amp;form=skydnc</v>
    <v>Learn more on Bing</v>
  </rv>
  <rv s="1">
    <v>pt-BR</v>
    <v>aplygh</v>
    <v>268435456</v>
    <v>1</v>
    <v>Da plataforma Refinitiv</v>
    <v>0</v>
    <v>1</v>
    <v>Banco do Brasil S.A. (BVMF:BBAS3)</v>
    <v>3</v>
    <v>4</v>
    <v>Finance</v>
    <v>5</v>
    <v>29.49</v>
    <v>18.12</v>
    <v>BVMF</v>
    <v>5730834000</v>
    <v>20.76</v>
    <v>1808</v>
    <v>20.399999999999999</v>
    <v>0.99160000000000004</v>
    <v>B3 - Brazil Stock Exchange</v>
    <v>117482097000</v>
    <v>O BANCO DO BRASIL S.A. é uma empresa brasileira dedicada sobretudo ao setor financeiro. As atividades da Empresa estão divididas em cinco segmentos: bancário, investimentos, gestão de ativos, segurança e tipos de pagamento. O Banco também participa de outras atividades econômicas, como leasing e suporte operacional. O Banco tem clientes individuais e corporativos. Oferece uma variedade de produtos e serviços financeiros, como depósitos, contas poupança, gestão de ativos, empréstimos, e seguros de saúde, de vida e patrimonial. Além disso, oferece transações financeiras em várias formas, incluindo operações cambiais e atividades complementares, com ênfase na previdência privada, capitalização, valores mobiliários, corretagem, administração de cartões de crédito e de débito, consórcios, fundos de investimento e portfólios de gestão. O BANCO DO BRASIL S.A. atua nos mercados nacional e internacional.</v>
    <v>BVMF</v>
    <v>20.77</v>
    <v>85953</v>
    <v>45951.752738066403</v>
    <v>3</v>
    <v>28051780</v>
    <v>BRL</v>
    <v>Banco do Brasil S.A.</v>
    <v>Banco do Brasil S.A.</v>
    <v>20.76</v>
    <v>20.5</v>
    <v>Saun Quadra 05, Lote B Ed. BB, Asa Norte, BRASILIA, DISTRITO FEDERAL, 70.040-912 BR</v>
    <v>Banking Services</v>
    <v>BBAS3</v>
    <v>Ações</v>
    <v>Banco do Brasil S.A. (BVMF:BBAS3)</v>
    <v>-0.27</v>
    <v>-1.3000000000000001E-2</v>
    <v>11243600</v>
  </rv>
  <rv s="2">
    <v>4</v>
  </rv>
  <rv s="0">
    <v>https://www.bing.com/financeapi/forcetrigger?t=apnhoc&amp;q=BVMF%3aTRPL4&amp;form=skydnc</v>
    <v>Learn more on Bing</v>
  </rv>
  <rv s="1">
    <v>pt-BR</v>
    <v>apnhoc</v>
    <v>268435456</v>
    <v>1</v>
    <v>Da plataforma Refinitiv</v>
    <v>0</v>
    <v>1</v>
    <v>ISA ENERGIA BRASIL S.A. (BVMF:ISAE4)</v>
    <v>3</v>
    <v>4</v>
    <v>Finance</v>
    <v>5</v>
    <v>25.43</v>
    <v>20.38</v>
    <v>BVMF</v>
    <v>658883300</v>
    <v>24.47</v>
    <v>1999</v>
    <v>24.17</v>
    <v>0.73980000000000001</v>
    <v>B3 - Brazil Stock Exchange</v>
    <v>17975740000</v>
    <v>A ISA Energia Brasil SA, anteriormente CTEEP - Companhia de Transmissão de Energia Elétrica Paulista, é uma empresa pública brasileira que atua na indústria de energia elétrica. A Companhia é concessionária de serviço público de energia elétrica, e está principalmente envolvida na transmissão de energia, o que requer planejamento, implantação de infraestrutura e operação e manutenção de sistemas de transmissão de energia subordinados. A empresa também faz investimentos, gerencia pesquisas e desenvolve programas relacionados à transmissão de energia e outras atividades relacionadas à tecnologia disponível. A Companhia está presente e atua em diversos estados através de suas subsidiárias e faz parte das empresas que formam o grupo econômico ISA, que atua há décadas no setor de transmissão de energia elétrica na Colômbia.</v>
    <v>BVMF</v>
    <v>24.44</v>
    <v>1700</v>
    <v>45951.752730323438</v>
    <v>6</v>
    <v>2404840</v>
    <v>BRL</v>
    <v>ISA ENERGIA BRASIL S.A.</v>
    <v>ISA ENERGIA BRASIL S.A.</v>
    <v>24.44</v>
    <v>24.23</v>
    <v>Av. das Nacoes Unidas 14171 - Torre Crystal, 6 andar, Vila Gertrudes, SAO PAULO, SAO PAULO, 04.794-000 BR</v>
    <v>Electrical Utilities &amp; IPPs</v>
    <v>ISAE4</v>
    <v>Ações</v>
    <v>ISA ENERGIA BRASIL S.A. (BVMF:ISAE4)</v>
    <v>-0.21</v>
    <v>-8.5919999999999989E-3</v>
    <v>1628100</v>
  </rv>
  <rv s="2">
    <v>7</v>
  </rv>
  <rv s="0">
    <v>https://www.bing.com/financeapi/forcetrigger?t=apma5r&amp;q=BVMF%3aCMIG4&amp;form=skydnc</v>
    <v>Learn more on Bing</v>
  </rv>
  <rv s="1">
    <v>pt-BR</v>
    <v>apma5r</v>
    <v>268435456</v>
    <v>1</v>
    <v>Da plataforma Refinitiv</v>
    <v>0</v>
    <v>1</v>
    <v>Companhia Energética de Minas Gerais - CEMIG (BVMF:CMIG4)</v>
    <v>3</v>
    <v>4</v>
    <v>Finance</v>
    <v>5</v>
    <v>11.28</v>
    <v>8.8699999999999992</v>
    <v>BVMF</v>
    <v>2861782000</v>
    <v>10.89</v>
    <v>1952</v>
    <v>10.74</v>
    <v>0.80620000000000003</v>
    <v>B3 - Brazil Stock Exchange</v>
    <v>34130270000</v>
    <v>Energy of Minas Gerais Co é uma holding sediada no Brasil. A Companhia atua em diversos estados do Brasil, através de inúmeras subsidiárias. No entanto, as operações da Companhia são centralizadas principalmente no estado de Minas Gerais. O principal segmento operacional é a distribuição de energia elétrica, seguida pela comercialização de energia elétrica, distribuição de gás, geração de energia elétrica e transmissão de energia elétrica. Constituída para atuar na comercialização de energia elétrica e como holding, com interesses em subsidiárias ou entidades controladas conjuntamente, cujos objetivos são: Construção e operação de sistemas de geração, transformação, transmissão, distribuição e venda de energia, e também atividades nos diversos campos do setor energético, incluindo distribuição de gás, prestação de serviços de geração distribuída e soluções de eficiência energética, para fins de operação comercial.</v>
    <v>BVMF</v>
    <v>10.89</v>
    <v>5028</v>
    <v>45951.752730613283</v>
    <v>9</v>
    <v>8236240</v>
    <v>BRL</v>
    <v>Companhia Energética de Minas Gerais - CEMIG</v>
    <v>Companhia Energética de Minas Gerais - CEMIG</v>
    <v>10.89</v>
    <v>10.77</v>
    <v>Avenida Barbacena, 1200, 16 / B1, Santo Agostinho, BELO HORIZONTE, MINAS GERAIS, 30.190-131 BR</v>
    <v>Electrical Utilities &amp; IPPs</v>
    <v>CMIG4</v>
    <v>Ações</v>
    <v>Companhia Energética de Minas Gerais - CEMIG (BVMF:CMIG4)</v>
    <v>-0.12</v>
    <v>-1.1019000000000001E-2</v>
    <v>3073600</v>
  </rv>
  <rv s="2">
    <v>10</v>
  </rv>
  <rv s="0">
    <v>https://www.bing.com/financeapi/forcetrigger?t=bqvzvh&amp;q=BVMF%3aHCTR11&amp;form=skydnc</v>
    <v>Learn more on Bing</v>
  </rv>
  <rv s="3">
    <v>pt-BR</v>
    <v>bqvzvh</v>
    <v>268435456</v>
    <v>1</v>
    <v>Da plataforma Refinitiv</v>
    <v>6</v>
    <v>7</v>
    <v>HECTARE CE FDO INV IMOB REIT (BVMF:HCTR11)</v>
    <v>8</v>
    <v>9</v>
    <v>Finance</v>
    <v>5</v>
    <v>24.18</v>
    <v>13.34</v>
    <v>BVMF</v>
    <v>22.05</v>
    <v>21.9</v>
    <v>B3 - Brazil Stock Exchange</v>
    <v>21.96</v>
    <v>45951.752615740741</v>
    <v>12</v>
    <v>BRL</v>
    <v>HECTARE CE FDO INV IMOB REIT</v>
    <v>21.97</v>
    <v>21.99</v>
    <v>HCTR11</v>
    <v>Fundos mais negociados</v>
    <v>HECTARE CE FDO INV IMOB REIT (BVMF:HCTR11)</v>
    <v>0.03</v>
    <v>1.366E-3</v>
    <v>22356</v>
  </rv>
  <rv s="2">
    <v>13</v>
  </rv>
  <rv s="0">
    <v>https://www.bing.com/financeapi/forcetrigger?t=bglxzr&amp;q=BVMF%3aXPLG11&amp;form=skydnc</v>
    <v>Learn more on Bing</v>
  </rv>
  <rv s="3">
    <v>pt-BR</v>
    <v>bglxzr</v>
    <v>268435456</v>
    <v>1</v>
    <v>Da plataforma Refinitiv</v>
    <v>6</v>
    <v>7</v>
    <v>XP LOG FDO INV IMOB CF (BVMF:XPLG11)</v>
    <v>8</v>
    <v>9</v>
    <v>Finance</v>
    <v>5</v>
    <v>101.99</v>
    <v>80.09</v>
    <v>BVMF</v>
    <v>101.45</v>
    <v>100.91</v>
    <v>B3 - Brazil Stock Exchange</v>
    <v>101.05</v>
    <v>45951.752676620315</v>
    <v>15</v>
    <v>BRL</v>
    <v>XP LOG FDO INV IMOB CF</v>
    <v>101.05</v>
    <v>101.13</v>
    <v>XPLG11</v>
    <v>Fundos mais negociados</v>
    <v>XP LOG FDO INV IMOB CF (BVMF:XPLG11)</v>
    <v>0.08</v>
    <v>7.917E-4</v>
    <v>19568</v>
  </rv>
  <rv s="2">
    <v>16</v>
  </rv>
  <rv s="0">
    <v>https://www.bing.com/financeapi/forcetrigger?t=apneqh&amp;q=BVMF%3aTAEE11&amp;form=skydnc</v>
    <v>Learn more on Bing</v>
  </rv>
  <rv s="3">
    <v>pt-BR</v>
    <v>apneqh</v>
    <v>268435456</v>
    <v>1</v>
    <v>Da plataforma Refinitiv</v>
    <v>6</v>
    <v>7</v>
    <v>TRANSMISSORA ALIANCA UNT (BVMF:TAEE11)</v>
    <v>8</v>
    <v>9</v>
    <v>Finance</v>
    <v>5</v>
    <v>37.19</v>
    <v>29.76</v>
    <v>BVMF</v>
    <v>36.69</v>
    <v>36.409999999999997</v>
    <v>B3 - Brazil Stock Exchange</v>
    <v>36.47</v>
    <v>45951.752736839844</v>
    <v>18</v>
    <v>BRL</v>
    <v>TRANSMISSORA ALIANCA UNT</v>
    <v>36.61</v>
    <v>36.450000000000003</v>
    <v>TAEE11</v>
    <v>Fundos mais negociados</v>
    <v>TRANSMISSORA ALIANCA UNT (BVMF:TAEE11)</v>
    <v>-0.02</v>
    <v>-5.4839999999999999E-4</v>
    <v>598300</v>
  </rv>
  <rv s="2">
    <v>19</v>
  </rv>
  <rv s="0">
    <v>https://www.bing.com/financeapi/forcetrigger?t=brziec&amp;q=BVMF%3aCVBI11&amp;form=skydnc</v>
    <v>Learn more on Bing</v>
  </rv>
  <rv s="3">
    <v>pt-BR</v>
    <v>brziec</v>
    <v>268435456</v>
    <v>1</v>
    <v>Da plataforma Refinitiv</v>
    <v>6</v>
    <v>7</v>
    <v>FDO INV IMOB VBI CRI ETF (BVMF:PCIP11)</v>
    <v>8</v>
    <v>9</v>
    <v>Finance</v>
    <v>5</v>
    <v>84.31</v>
    <v>63.83</v>
    <v>BVMF</v>
    <v>80.84</v>
    <v>79.599999999999994</v>
    <v>B3 - Brazil Stock Exchange</v>
    <v>80.58</v>
    <v>45951.752592592595</v>
    <v>21</v>
    <v>BRL</v>
    <v>FDO INV IMOB VBI CRI ETF</v>
    <v>80.5</v>
    <v>79.77</v>
    <v>PCIP11</v>
    <v>Fundos mais negociados</v>
    <v>FDO INV IMOB VBI CRI ETF (BVMF:PCIP11)</v>
    <v>-0.81</v>
    <v>-1.0052E-2</v>
    <v>32489</v>
  </rv>
  <rv s="2">
    <v>22</v>
  </rv>
  <rv s="0">
    <v>https://www.bing.com/financeapi/forcetrigger?t=bwg44c&amp;q=BVMF%3aRZTR11&amp;form=skydnc</v>
    <v>Learn more on Bing</v>
  </rv>
  <rv s="3">
    <v>pt-BR</v>
    <v>bwg44c</v>
    <v>268435456</v>
    <v>1</v>
    <v>Da plataforma Refinitiv</v>
    <v>6</v>
    <v>7</v>
    <v>FDO DE INV IMOB RIZA TERRAX CF (BVMF:RZTR11)</v>
    <v>8</v>
    <v>9</v>
    <v>Finance</v>
    <v>5</v>
    <v>92.98</v>
    <v>70.52</v>
    <v>BVMF</v>
    <v>92.35</v>
    <v>91.9</v>
    <v>B3 - Brazil Stock Exchange</v>
    <v>92.35</v>
    <v>45951.752771874999</v>
    <v>24</v>
    <v>BRL</v>
    <v>FDO DE INV IMOB RIZA TERRAX CF</v>
    <v>92.25</v>
    <v>92.06</v>
    <v>RZTR11</v>
    <v>Fundos mais negociados</v>
    <v>FDO DE INV IMOB RIZA TERRAX CF (BVMF:RZTR11)</v>
    <v>-0.28999999999999998</v>
    <v>-3.14E-3</v>
    <v>20401</v>
  </rv>
  <rv s="2">
    <v>25</v>
  </rv>
  <rv s="0">
    <v>https://www.bing.com/financeapi/forcetrigger?t=apn4gh&amp;q=BVMF%3aPETR4&amp;form=skydnc</v>
    <v>Learn more on Bing</v>
  </rv>
  <rv s="1">
    <v>pt-BR</v>
    <v>apn4gh</v>
    <v>268435456</v>
    <v>1</v>
    <v>Da plataforma Refinitiv</v>
    <v>0</v>
    <v>1</v>
    <v>Petróleo Brasileiro S.A. (Petrobras) (BVMF:PETR4)</v>
    <v>3</v>
    <v>4</v>
    <v>Finance</v>
    <v>5</v>
    <v>35.86</v>
    <v>28.15</v>
    <v>BVMF</v>
    <v>12888730000</v>
    <v>29.99</v>
    <v>1953</v>
    <v>29.47</v>
    <v>0.95009999999999994</v>
    <v>B3 - Brazil Stock Exchange</v>
    <v>396910300000</v>
    <v>A Petroleo Brasileiro SA Petrobras é uma empresa sediada no Brasil. A empresa é especializada na indústria de petróleo, gás natural e energia. A Empresa está envolvida na prospeção, perfuração, refino, processamento, comercialização e transporte de petróleo bruto da produção de campos petrolíferos onshore e offshore e de xisto ou outras rochas. Seus segmentos incluem Exploração e Produção (exploração, desenvolvimento e produção de petróleo bruto, líquidos de gás natural e gás natural); Refinação, Transporte, e Marketing (Refinação, logística, transporte, comercialização de produtos petrolíferos, exportação de etanol, processamento de xisto); Gás e Energia (transporte e comercialização de gás natural e importado); Biocombustíveis (produção de biodiesel e etanol); Distribuição (distribuição de combustível); e Corporate (funções administrativas e de apoio).</v>
    <v>BVMF</v>
    <v>29.75</v>
    <v>49185</v>
    <v>45951.752754629626</v>
    <v>27</v>
    <v>28674050</v>
    <v>BRL</v>
    <v>Petróleo Brasileiro S.A. (Petrobras)</v>
    <v>Petróleo Brasileiro S.A. (Petrobras)</v>
    <v>29.96</v>
    <v>29.68</v>
    <v>Av. Republica do Chile, n 65, 24 andar, Centro, Rio de Janeiro, RIO DE JANEIRO, 20.031-912 BR</v>
    <v>Oil &amp; Gas</v>
    <v>PETR4</v>
    <v>Ações</v>
    <v>Petróleo Brasileiro S.A. (Petrobras) (BVMF:PETR4)</v>
    <v>-7.0000000000000007E-2</v>
    <v>-2.3530000000000001E-3</v>
    <v>17858500</v>
  </rv>
  <rv s="2">
    <v>28</v>
  </rv>
  <rv s="0">
    <v>https://www.bing.com/financeapi/forcetrigger?t=apmu8m&amp;q=BVMF%3aKNCR11&amp;form=skydnc</v>
    <v>Learn more on Bing</v>
  </rv>
  <rv s="3">
    <v>pt-BR</v>
    <v>apmu8m</v>
    <v>268435456</v>
    <v>1</v>
    <v>Da plataforma Refinitiv</v>
    <v>6</v>
    <v>7</v>
    <v>FDO INV IMOB KINEA RENDIMENTOS ETF (BVMF:KNCR11)</v>
    <v>8</v>
    <v>9</v>
    <v>Finance</v>
    <v>5</v>
    <v>105.75</v>
    <v>84.36</v>
    <v>BVMF</v>
    <v>104.91</v>
    <v>104.37</v>
    <v>B3 - Brazil Stock Exchange</v>
    <v>104.19</v>
    <v>45951.752775092187</v>
    <v>30</v>
    <v>BRL</v>
    <v>FDO INV IMOB KINEA RENDIMENTOS ETF</v>
    <v>104.5</v>
    <v>104.72</v>
    <v>KNCR11</v>
    <v>Fundos mais negociados</v>
    <v>FDO INV IMOB KINEA RENDIMENTOS ETF (BVMF:KNCR11)</v>
    <v>0.53</v>
    <v>5.0870000000000004E-3</v>
    <v>95381</v>
  </rv>
  <rv s="2">
    <v>31</v>
  </rv>
  <rv s="0">
    <v>https://www.bing.com/financeapi/forcetrigger?t=apmscw&amp;q=BVMF%3aITUB4&amp;form=skydnc</v>
    <v>Learn more on Bing</v>
  </rv>
  <rv s="1">
    <v>pt-BR</v>
    <v>apmscw</v>
    <v>268435456</v>
    <v>1</v>
    <v>Da plataforma Refinitiv</v>
    <v>0</v>
    <v>1</v>
    <v>Itaú Unibanco Holding S.A. (BVMF:ITUB4)</v>
    <v>3</v>
    <v>4</v>
    <v>Finance</v>
    <v>5</v>
    <v>39.479999999999997</v>
    <v>25.28</v>
    <v>BVMF</v>
    <v>10784550000</v>
    <v>38.229999999999997</v>
    <v>1943</v>
    <v>37.86</v>
    <v>1.2538</v>
    <v>B3 - Brazil Stock Exchange</v>
    <v>387594800000</v>
    <v>O Itau Unibanco Holding SA, anteriormente Banco Frances e Brasileiro SA, é uma provedora brasileira de serviços e produtos bancários e não bancários diversificados. As atividades da Companhia estão divididas em três segmentos de negócios: Varejo, Negócios por Atacado e Atividades com o Mercado e Corporações. A oferta do segmento de Negócios de Varejo inclui empréstimos pessoais, cartões de crédito, empréstimos deduzidos da folha de pagamento, financiamento de veículos, empréstimos hipotecários, seguros, planos de pensões e produtos de obrigações premium. O segmento de Negócios por Atacado oferece serviços e produtos para clientes bancários privados, como gestão de ativos, soluções de mercado de capitais, atividades bancárias corporativas e de investimento. As atividades com o segmento de Negócios Mercado e Corporações gerenciam os rendimentos de juros associados ao superávit de capital da Companhia, superávit de dívida subordinado e saldo líquido de créditos fiscais e débitos. O Itau Unibanco Holding atende pessoas físicas e clientes corporativos.</v>
    <v>BVMF</v>
    <v>38.159999999999997</v>
    <v>100600</v>
    <v>45951.752743055556</v>
    <v>33</v>
    <v>17155400</v>
    <v>BRL</v>
    <v>Itaú Unibanco Holding S.A.</v>
    <v>Itaú Unibanco Holding S.A.</v>
    <v>38.159999999999997</v>
    <v>37.979999999999997</v>
    <v>Praca Alfredo Egydio de Souza Aranha, 100, T. Olavo Setubal, Piso Itau Unibanco, Parque Jabaquara, SAO PAULO, SAO PAULO, 04.344-902 BR</v>
    <v>Banking Services</v>
    <v>ITUB4</v>
    <v>Ações</v>
    <v>Itaú Unibanco Holding S.A. (BVMF:ITUB4)</v>
    <v>-0.18</v>
    <v>-4.7169999999999998E-3</v>
    <v>6394300</v>
  </rv>
  <rv s="2">
    <v>34</v>
  </rv>
  <rv s="0">
    <v>https://www.bing.com/financeapi/forcetrigger?t=apnk7w&amp;q=BVMF%3aVISC11&amp;form=skydnc</v>
    <v>Learn more on Bing</v>
  </rv>
  <rv s="3">
    <v>pt-BR</v>
    <v>apnk7w</v>
    <v>268435456</v>
    <v>1</v>
    <v>Da plataforma Refinitiv</v>
    <v>6</v>
    <v>7</v>
    <v>VINCI SHOPPING CENTERS FDO INVEST IMOB CF (BVMF:VISC11)</v>
    <v>8</v>
    <v>9</v>
    <v>Finance</v>
    <v>5</v>
    <v>110.3</v>
    <v>78.75</v>
    <v>BVMF</v>
    <v>108.2</v>
    <v>107.86</v>
    <v>B3 - Brazil Stock Exchange</v>
    <v>108.01</v>
    <v>45951.752704791405</v>
    <v>36</v>
    <v>BRL</v>
    <v>VINCI SHOPPING CENTERS FDO INVEST IMOB CF</v>
    <v>108.01</v>
    <v>108</v>
    <v>VISC11</v>
    <v>Fundos mais negociados</v>
    <v>VINCI SHOPPING CENTERS FDO INVEST IMOB CF (BVMF:VISC11)</v>
    <v>-0.01</v>
    <v>-9.2580000000000011E-5</v>
    <v>20411</v>
  </rv>
  <rv s="2">
    <v>37</v>
  </rv>
</rvData>
</file>

<file path=xl/richData/rdrichvaluestructure.xml><?xml version="1.0" encoding="utf-8"?>
<rvStructures xmlns="http://schemas.microsoft.com/office/spreadsheetml/2017/richdata" count="4">
  <s t="_hyperlink">
    <k n="Address" t="s"/>
    <k n="Text" t="s"/>
  </s>
  <s t="_linkedentitycore">
    <k n="%EntityCulture" t="s"/>
    <k n="%EntityId" t="s"/>
    <k n="%EntityServiceId"/>
    <k n="%IsRefreshable" t="b"/>
    <k n="%ProviderInfo" t="s"/>
    <k n="_CanonicalPropertyNames" t="spb"/>
    <k n="_Display" t="spb"/>
    <k n="_DisplayString" t="s"/>
    <k n="_Flags" t="spb"/>
    <k n="_Format" t="spb"/>
    <k n="_Icon" t="s"/>
    <k n="_SubLabel" t="spb"/>
    <k n="52 semanas de alta"/>
    <k n="52 semanas de baixa"/>
    <k n="Abreviatura do câmbio" t="s"/>
    <k n="Ações em circulação"/>
    <k n="Alto"/>
    <k n="Ano de incorporação"/>
    <k n="Baixo"/>
    <k n="Beta"/>
    <k n="Bolsa" t="s"/>
    <k n="Capitalização de mercado"/>
    <k n="Descrição" t="s"/>
    <k n="ExchangeID" t="s"/>
    <k n="Fechamento anterior"/>
    <k n="Funcionários"/>
    <k n="Hora da última transação"/>
    <k n="LearnMoreOnLink" t="r"/>
    <k n="Média de volume"/>
    <k n="Moeda" t="s"/>
    <k n="Nome" t="s"/>
    <k n="Nome oficial" t="s"/>
    <k n="Pendência"/>
    <k n="Preço"/>
    <k n="Sede" t="s"/>
    <k n="Setor" t="s"/>
    <k n="Símbolo do ticker" t="s"/>
    <k n="Tipo de instrumento" t="s"/>
    <k n="UniqueName" t="s"/>
    <k n="Variação"/>
    <k n="Variação (%)"/>
    <k n="Volume"/>
  </s>
  <s t="_linkedentity">
    <k n="%cvi" t="r"/>
  </s>
  <s t="_linkedentitycore">
    <k n="%EntityCulture" t="s"/>
    <k n="%EntityId" t="s"/>
    <k n="%EntityServiceId"/>
    <k n="%IsRefreshable" t="b"/>
    <k n="%ProviderInfo" t="s"/>
    <k n="_CanonicalPropertyNames" t="spb"/>
    <k n="_Display" t="spb"/>
    <k n="_DisplayString" t="s"/>
    <k n="_Flags" t="spb"/>
    <k n="_Format" t="spb"/>
    <k n="_Icon" t="s"/>
    <k n="_SubLabel" t="spb"/>
    <k n="52 semanas de alta"/>
    <k n="52 semanas de baixa"/>
    <k n="Abreviatura do câmbio" t="s"/>
    <k n="Alto"/>
    <k n="Baixo"/>
    <k n="Bolsa" t="s"/>
    <k n="Fechamento anterior"/>
    <k n="Hora da última transação"/>
    <k n="LearnMoreOnLink" t="r"/>
    <k n="Moeda" t="s"/>
    <k n="Nome" t="s"/>
    <k n="Pendência"/>
    <k n="Preço"/>
    <k n="Símbolo do ticker" t="s"/>
    <k n="Tipo de instrumento" t="s"/>
    <k n="UniqueName" t="s"/>
    <k n="Variação"/>
    <k n="Variação (%)"/>
    <k n="Volume"/>
  </s>
</rvStructures>
</file>

<file path=xl/richData/rdsupportingpropertybag.xml><?xml version="1.0" encoding="utf-8"?>
<supportingPropertyBags xmlns="http://schemas.microsoft.com/office/spreadsheetml/2017/richdata2">
  <spbArrays count="2">
    <a count="42">
      <v t="s">%EntityServiceId</v>
      <v t="s">_Format</v>
      <v t="s">%IsRefreshable</v>
      <v t="s">_CanonicalPropertyNames</v>
      <v t="s">%EntityCulture</v>
      <v t="s">%EntityId</v>
      <v t="s">_Icon</v>
      <v t="s">_Display</v>
      <v t="s">Nome</v>
      <v t="s">_SubLabel</v>
      <v t="s">Preço</v>
      <v t="s">Bolsa</v>
      <v t="s">Nome oficial</v>
      <v t="s">Hora da última transação</v>
      <v t="s">Símbolo do ticker</v>
      <v t="s">Abreviatura do câmbio</v>
      <v t="s">Variação</v>
      <v t="s">Variação (%)</v>
      <v t="s">Moeda</v>
      <v t="s">Fechamento anterior</v>
      <v t="s">Pendência</v>
      <v t="s">Alto</v>
      <v t="s">Baixo</v>
      <v t="s">52 semanas de alta</v>
      <v t="s">52 semanas de baixa</v>
      <v t="s">Volume</v>
      <v t="s">Média de volume</v>
      <v t="s">Capitalização de mercado</v>
      <v t="s">Beta</v>
      <v t="s">Ações em circulação</v>
      <v t="s">Descrição</v>
      <v t="s">Funcionários</v>
      <v t="s">Sede</v>
      <v t="s">Setor</v>
      <v t="s">Tipo de instrumento</v>
      <v t="s">Ano de incorporação</v>
      <v t="s">_Flags</v>
      <v t="s">UniqueName</v>
      <v t="s">_DisplayString</v>
      <v t="s">LearnMoreOnLink</v>
      <v t="s">ExchangeID</v>
      <v t="s">%ProviderInfo</v>
    </a>
    <a count="31">
      <v t="s">%EntityServiceId</v>
      <v t="s">_Format</v>
      <v t="s">%IsRefreshable</v>
      <v t="s">_CanonicalPropertyNames</v>
      <v t="s">%EntityCulture</v>
      <v t="s">%EntityId</v>
      <v t="s">_Icon</v>
      <v t="s">_Display</v>
      <v t="s">Nome</v>
      <v t="s">_SubLabel</v>
      <v t="s">Preço</v>
      <v t="s">Bolsa</v>
      <v t="s">Hora da última transação</v>
      <v t="s">Símbolo do ticker</v>
      <v t="s">Abreviatura do câmbio</v>
      <v t="s">Variação</v>
      <v t="s">Variação (%)</v>
      <v t="s">Moeda</v>
      <v t="s">Fechamento anterior</v>
      <v t="s">Pendência</v>
      <v t="s">Alto</v>
      <v t="s">Baixo</v>
      <v t="s">52 semanas de alta</v>
      <v t="s">52 semanas de baixa</v>
      <v t="s">Volume</v>
      <v t="s">Tipo de instrumento</v>
      <v t="s">_Flags</v>
      <v t="s">UniqueName</v>
      <v t="s">_DisplayString</v>
      <v t="s">LearnMoreOnLink</v>
      <v t="s">%ProviderInfo</v>
    </a>
  </spbArrays>
  <spbData count="10">
    <spb s="0">
      <v>High</v>
      <v>Beta</v>
      <v>Name</v>
      <v>Headquarters</v>
      <v>Low</v>
      <v>Exchange</v>
      <v>Currency</v>
      <v>Price</v>
      <v>Industry</v>
      <v>Volume</v>
      <v>Change</v>
      <v>Description</v>
      <v>Open</v>
      <v>ExchangeID</v>
      <v>UniqueName</v>
      <v>Employees</v>
      <v>Official name</v>
      <v>Change (%)</v>
      <v>%ProviderInfo</v>
      <v>LearnMoreOnLink</v>
      <v>Volume average</v>
      <v>Ticker symbol</v>
      <v>52 week high</v>
      <v>52 week low</v>
      <v>Year incorporated</v>
      <v>Shares outstanding</v>
      <v>Previous close</v>
      <v>Instrument type</v>
      <v>Exchange abbreviation</v>
      <v>Market cap</v>
      <v>Last trade time</v>
    </spb>
    <spb s="1">
      <v>0</v>
      <v>Name</v>
      <v>LearnMoreOnLink</v>
    </spb>
    <spb s="2">
      <v>0</v>
      <v>0</v>
      <v>0</v>
    </spb>
    <spb s="3">
      <v>2</v>
      <v>2</v>
      <v>2</v>
      <v>2</v>
    </spb>
    <spb s="4">
      <v>1</v>
      <v>2</v>
      <v>3</v>
      <v>1</v>
      <v>1</v>
      <v>4</v>
      <v>1</v>
      <v>1</v>
      <v>4</v>
      <v>5</v>
      <v>4</v>
      <v>6</v>
      <v>1</v>
      <v>1</v>
      <v>7</v>
      <v>4</v>
      <v>1</v>
      <v>8</v>
      <v>9</v>
    </spb>
    <spb s="5">
      <v>Atraso de 30 minutos</v>
      <v xml:space="preserve">do fechamento anterior </v>
      <v xml:space="preserve">do fechamento anterior </v>
      <v>GMT</v>
    </spb>
    <spb s="6">
      <v>High</v>
      <v>Name</v>
      <v>Low</v>
      <v>Exchange</v>
      <v>Currency</v>
      <v>Price</v>
      <v>Volume</v>
      <v>Change</v>
      <v>Open</v>
      <v>UniqueName</v>
      <v>Change (%)</v>
      <v>%ProviderInfo</v>
      <v>LearnMoreOnLink</v>
      <v>Ticker symbol</v>
      <v>52 week high</v>
      <v>52 week low</v>
      <v>Previous close</v>
      <v>Instrument type</v>
      <v>Exchange abbreviation</v>
      <v>Last trade time</v>
    </spb>
    <spb s="1">
      <v>1</v>
      <v>Name</v>
      <v>LearnMoreOnLink</v>
    </spb>
    <spb s="7">
      <v>2</v>
      <v>2</v>
      <v>2</v>
    </spb>
    <spb s="8">
      <v>1</v>
      <v>3</v>
      <v>1</v>
      <v>1</v>
      <v>4</v>
      <v>1</v>
      <v>1</v>
      <v>5</v>
      <v>6</v>
      <v>1</v>
      <v>1</v>
      <v>1</v>
      <v>9</v>
    </spb>
  </spbData>
</supportingPropertyBags>
</file>

<file path=xl/richData/rdsupportingpropertybagstructure.xml><?xml version="1.0" encoding="utf-8"?>
<spbStructures xmlns="http://schemas.microsoft.com/office/spreadsheetml/2017/richdata2" count="9">
  <s>
    <k n="Alto" t="s"/>
    <k n="Beta" t="s"/>
    <k n="Nome" t="s"/>
    <k n="Sede" t="s"/>
    <k n="Baixo" t="s"/>
    <k n="Bolsa" t="s"/>
    <k n="Moeda" t="s"/>
    <k n="Preço" t="s"/>
    <k n="Setor" t="s"/>
    <k n="Volume" t="s"/>
    <k n="Variação" t="s"/>
    <k n="Descrição" t="s"/>
    <k n="Pendência" t="s"/>
    <k n="ExchangeID" t="s"/>
    <k n="UniqueName" t="s"/>
    <k n="Funcionários" t="s"/>
    <k n="Nome oficial" t="s"/>
    <k n="Variação (%)" t="s"/>
    <k n="%ProviderInfo" t="s"/>
    <k n="LearnMoreOnLink" t="s"/>
    <k n="Média de volume" t="s"/>
    <k n="Símbolo do ticker" t="s"/>
    <k n="52 semanas de alta" t="s"/>
    <k n="52 semanas de baixa" t="s"/>
    <k n="Ano de incorporação" t="s"/>
    <k n="Ações em circulação" t="s"/>
    <k n="Fechamento anterior" t="s"/>
    <k n="Tipo de instrumento" t="s"/>
    <k n="Abreviatura do câmbio" t="s"/>
    <k n="Capitalização de mercado" t="s"/>
    <k n="Hora da última transação" t="s"/>
  </s>
  <s>
    <k n="^Order" t="spba"/>
    <k n="TitleProperty" t="s"/>
    <k n="SubTitleProperty" t="s"/>
  </s>
  <s>
    <k n="ShowInCardView" t="b"/>
    <k n="ShowInDotNotation" t="b"/>
    <k n="ShowInAutoComplete" t="b"/>
  </s>
  <s>
    <k n="ExchangeID" t="spb"/>
    <k n="UniqueName" t="spb"/>
    <k n="`%ProviderInfo" t="spb"/>
    <k n="LearnMoreOnLink" t="spb"/>
  </s>
  <s>
    <k n="Alto" t="i"/>
    <k n="Beta" t="i"/>
    <k n="Nome" t="i"/>
    <k n="Baixo" t="i"/>
    <k n="Preço" t="i"/>
    <k n="Volume" t="i"/>
    <k n="Variação" t="i"/>
    <k n="Pendência" t="i"/>
    <k n="Funcionários" t="i"/>
    <k n="Variação (%)" t="i"/>
    <k n="Média de volume" t="i"/>
    <k n="`%EntityServiceId" t="i"/>
    <k n="52 semanas de alta" t="i"/>
    <k n="52 semanas de baixa" t="i"/>
    <k n="Ano de incorporação" t="i"/>
    <k n="Ações em circulação" t="i"/>
    <k n="Fechamento anterior" t="i"/>
    <k n="Capitalização de mercado" t="i"/>
    <k n="Hora da última transação" t="i"/>
  </s>
  <s>
    <k n="Preço" t="s"/>
    <k n="Variação" t="s"/>
    <k n="Variação (%)" t="s"/>
    <k n="Hora da última transação" t="s"/>
  </s>
  <s>
    <k n="Alto" t="s"/>
    <k n="Nome" t="s"/>
    <k n="Baixo" t="s"/>
    <k n="Bolsa" t="s"/>
    <k n="Moeda" t="s"/>
    <k n="Preço" t="s"/>
    <k n="Volume" t="s"/>
    <k n="Variação" t="s"/>
    <k n="Pendência" t="s"/>
    <k n="UniqueName" t="s"/>
    <k n="Variação (%)" t="s"/>
    <k n="%ProviderInfo" t="s"/>
    <k n="LearnMoreOnLink" t="s"/>
    <k n="Símbolo do ticker" t="s"/>
    <k n="52 semanas de alta" t="s"/>
    <k n="52 semanas de baixa" t="s"/>
    <k n="Fechamento anterior" t="s"/>
    <k n="Tipo de instrumento" t="s"/>
    <k n="Abreviatura do câmbio" t="s"/>
    <k n="Hora da última transação" t="s"/>
  </s>
  <s>
    <k n="UniqueName" t="spb"/>
    <k n="`%ProviderInfo" t="spb"/>
    <k n="LearnMoreOnLink" t="spb"/>
  </s>
  <s>
    <k n="Alto" t="i"/>
    <k n="Nome" t="i"/>
    <k n="Baixo" t="i"/>
    <k n="Preço" t="i"/>
    <k n="Volume" t="i"/>
    <k n="Variação" t="i"/>
    <k n="Pendência" t="i"/>
    <k n="Variação (%)" t="i"/>
    <k n="`%EntityServiceId" t="i"/>
    <k n="52 semanas de alta" t="i"/>
    <k n="52 semanas de baixa" t="i"/>
    <k n="Fechamento anterior" t="i"/>
    <k n="Hora da última transação" t="i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7">
    <x:dxf>
      <x:numFmt numFmtId="2" formatCode="0.00"/>
    </x:dxf>
    <x:dxf>
      <x:numFmt numFmtId="0" formatCode="General"/>
    </x:dxf>
    <x:dxf>
      <x:numFmt numFmtId="14" formatCode="0.00%"/>
    </x:dxf>
    <x:dxf>
      <x:numFmt numFmtId="3" formatCode="#,##0"/>
    </x:dxf>
    <x:dxf>
      <x:numFmt numFmtId="4" formatCode="#,##0.00"/>
    </x:dxf>
    <x:dxf>
      <x:numFmt numFmtId="1" formatCode="0"/>
    </x:dxf>
    <x:dxf>
      <x:numFmt numFmtId="27" formatCode="dd/mm/yyyy\ hh:mm"/>
    </x:dxf>
  </dxfs>
  <richProperties>
    <rPr n="NumberFormat" t="s"/>
    <rPr n="IsTitleField" t="b"/>
  </richProperties>
  <richStyles>
    <rSty dxfid="1">
      <rpv i="0">_-[$R$-pt-BR] * #,##0.00_-;-[$R$-pt-BR] * #,##0.00_-;_-[$R$-pt-BR] * "-"??_-;_-@_-</rpv>
    </rSty>
    <rSty dxfid="4">
      <rpv i="0">#,##0.00</rpv>
    </rSty>
    <rSty>
      <rpv i="1">1</rpv>
    </rSty>
    <rSty dxfid="3">
      <rpv i="0">#,##0</rpv>
    </rSty>
    <rSty dxfid="2"/>
    <rSty dxfid="0">
      <rpv i="0">0.00</rpv>
    </rSty>
    <rSty dxfid="5">
      <rpv i="0">0</rpv>
    </rSty>
    <rSty dxfid="1">
      <rpv i="0">_-[$R$-pt-BR] * #,##0_-;-[$R$-pt-BR] * #,##0_-;_-[$R$-pt-BR] * "-"_-;_-@_-</rpv>
    </rSty>
    <rSty dxfid="6"/>
  </richStyles>
</rich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6" dT="2025-10-16T12:30:12.29" personId="{B9514FD4-10C5-495F-BE9B-5F7774BF5DD5}" id="{9F137BCE-DC4F-43AD-A307-D2584A9374A3}">
    <text>14/10/2025 - R$ 31,03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14"/>
  <sheetViews>
    <sheetView tabSelected="1" topLeftCell="E1" workbookViewId="0">
      <selection activeCell="N2" sqref="N2"/>
    </sheetView>
  </sheetViews>
  <sheetFormatPr defaultRowHeight="15"/>
  <cols>
    <col min="1" max="1" width="10.28515625" bestFit="1" customWidth="1"/>
    <col min="2" max="2" width="16.5703125" bestFit="1" customWidth="1"/>
    <col min="3" max="3" width="17.42578125" bestFit="1" customWidth="1"/>
    <col min="4" max="4" width="13.140625" customWidth="1"/>
    <col min="5" max="5" width="12.85546875" customWidth="1"/>
    <col min="6" max="6" width="17.42578125" bestFit="1" customWidth="1"/>
    <col min="7" max="7" width="26.140625" bestFit="1" customWidth="1"/>
    <col min="8" max="8" width="22.28515625" bestFit="1" customWidth="1"/>
    <col min="9" max="9" width="10.85546875" bestFit="1" customWidth="1"/>
    <col min="10" max="10" width="15.5703125" bestFit="1" customWidth="1"/>
    <col min="11" max="11" width="12.85546875" bestFit="1" customWidth="1"/>
    <col min="12" max="12" width="15.85546875" bestFit="1" customWidth="1"/>
    <col min="13" max="13" width="15.7109375" bestFit="1" customWidth="1"/>
    <col min="15" max="15" width="14.85546875" bestFit="1" customWidth="1"/>
  </cols>
  <sheetData>
    <row r="1" spans="1:16" ht="30">
      <c r="A1" s="6" t="s">
        <v>0</v>
      </c>
      <c r="B1" s="6" t="s">
        <v>1</v>
      </c>
      <c r="C1" s="7" t="s">
        <v>2</v>
      </c>
      <c r="D1" s="7" t="s">
        <v>3</v>
      </c>
      <c r="E1" s="16" t="s">
        <v>4</v>
      </c>
      <c r="F1" s="16" t="s">
        <v>5</v>
      </c>
      <c r="G1" s="16" t="s">
        <v>6</v>
      </c>
      <c r="H1" s="10" t="s">
        <v>7</v>
      </c>
      <c r="I1" s="8" t="s">
        <v>8</v>
      </c>
      <c r="J1" s="9" t="s">
        <v>9</v>
      </c>
      <c r="K1" s="9" t="s">
        <v>10</v>
      </c>
      <c r="L1" s="9" t="s">
        <v>11</v>
      </c>
      <c r="M1" s="9" t="s">
        <v>49</v>
      </c>
      <c r="N1" s="9" t="s">
        <v>50</v>
      </c>
    </row>
    <row r="2" spans="1:16">
      <c r="A2" t="s">
        <v>22</v>
      </c>
      <c r="B2" s="1" t="s">
        <v>12</v>
      </c>
      <c r="C2" s="2">
        <v>1200</v>
      </c>
      <c r="D2" s="15">
        <v>8.1999999999999993</v>
      </c>
      <c r="E2" s="11">
        <v>21</v>
      </c>
      <c r="F2" s="12">
        <v>60.76</v>
      </c>
      <c r="G2" s="12">
        <v>1.9</v>
      </c>
      <c r="H2" s="13">
        <v>39.9</v>
      </c>
      <c r="I2" t="s">
        <v>23</v>
      </c>
      <c r="J2" s="17">
        <v>1501.2</v>
      </c>
      <c r="K2" s="17">
        <v>301.2</v>
      </c>
      <c r="L2" s="3"/>
      <c r="M2" s="18">
        <v>45470</v>
      </c>
      <c r="N2">
        <f>10*365</f>
        <v>3650</v>
      </c>
      <c r="P2" s="5"/>
    </row>
    <row r="3" spans="1:16">
      <c r="A3" t="s">
        <v>24</v>
      </c>
      <c r="B3" s="1" t="s">
        <v>13</v>
      </c>
      <c r="C3" s="2">
        <v>1200</v>
      </c>
      <c r="D3" s="15">
        <v>9.36</v>
      </c>
      <c r="E3" s="11">
        <v>88</v>
      </c>
      <c r="F3" s="12">
        <v>20.420000000000002</v>
      </c>
      <c r="G3" s="12">
        <v>0.42</v>
      </c>
      <c r="H3" s="13">
        <v>36.96</v>
      </c>
      <c r="I3" t="s">
        <v>25</v>
      </c>
      <c r="J3" s="17">
        <v>202.8</v>
      </c>
      <c r="K3" s="17">
        <v>-997.2</v>
      </c>
      <c r="L3" s="3"/>
      <c r="M3" s="2"/>
      <c r="P3" s="5"/>
    </row>
    <row r="4" spans="1:16">
      <c r="A4" t="s">
        <v>26</v>
      </c>
      <c r="B4" s="1" t="s">
        <v>14</v>
      </c>
      <c r="C4" s="2">
        <v>1200</v>
      </c>
      <c r="D4" s="15">
        <v>10.33</v>
      </c>
      <c r="E4" s="11">
        <v>52</v>
      </c>
      <c r="F4" s="12">
        <v>24.19</v>
      </c>
      <c r="G4" s="12">
        <v>0.67</v>
      </c>
      <c r="H4" s="13">
        <v>34.840000000000003</v>
      </c>
      <c r="I4" t="s">
        <v>27</v>
      </c>
      <c r="J4" s="4">
        <v>0</v>
      </c>
      <c r="K4" s="17">
        <v>-1200</v>
      </c>
      <c r="L4" s="3"/>
      <c r="M4" s="2"/>
      <c r="N4" s="14"/>
      <c r="P4" s="5"/>
    </row>
    <row r="5" spans="1:16">
      <c r="A5" t="s">
        <v>29</v>
      </c>
      <c r="B5" s="1" t="s">
        <v>15</v>
      </c>
      <c r="C5" s="2">
        <v>1200</v>
      </c>
      <c r="D5" s="15">
        <v>13.04</v>
      </c>
      <c r="E5" s="11">
        <v>165</v>
      </c>
      <c r="F5" s="12">
        <v>10.77</v>
      </c>
      <c r="G5" s="12">
        <v>0.21</v>
      </c>
      <c r="H5" s="13">
        <v>34.65</v>
      </c>
      <c r="I5" t="s">
        <v>30</v>
      </c>
      <c r="J5" s="17">
        <v>1650.92</v>
      </c>
      <c r="K5" s="17">
        <v>450.92</v>
      </c>
      <c r="L5" s="3"/>
      <c r="M5" s="2"/>
      <c r="P5" s="5"/>
    </row>
    <row r="6" spans="1:16">
      <c r="A6" t="s">
        <v>31</v>
      </c>
      <c r="B6" s="1" t="s">
        <v>16</v>
      </c>
      <c r="C6" s="2">
        <v>2400</v>
      </c>
      <c r="D6" s="15">
        <v>17.850000000000001</v>
      </c>
      <c r="E6" s="11">
        <v>105</v>
      </c>
      <c r="F6" s="12">
        <v>21.99</v>
      </c>
      <c r="G6" s="12">
        <v>0.3</v>
      </c>
      <c r="H6" s="13">
        <v>31.5</v>
      </c>
      <c r="I6" t="s">
        <v>32</v>
      </c>
      <c r="J6" s="17">
        <v>2409.75</v>
      </c>
      <c r="K6" s="17">
        <v>9.75</v>
      </c>
      <c r="L6" s="3"/>
      <c r="M6" s="2"/>
      <c r="P6" s="5"/>
    </row>
    <row r="7" spans="1:16">
      <c r="A7" t="s">
        <v>33</v>
      </c>
      <c r="B7" s="1" t="s">
        <v>17</v>
      </c>
      <c r="C7" s="2">
        <v>1800</v>
      </c>
      <c r="D7" s="15">
        <v>9.9600000000000009</v>
      </c>
      <c r="E7" s="11">
        <v>24</v>
      </c>
      <c r="F7" s="12">
        <v>101.08</v>
      </c>
      <c r="G7" s="12">
        <v>0.82</v>
      </c>
      <c r="H7" s="13">
        <v>19.68</v>
      </c>
      <c r="I7" t="s">
        <v>34</v>
      </c>
      <c r="J7" s="17">
        <v>207.44</v>
      </c>
      <c r="K7" s="17">
        <v>-1592.56</v>
      </c>
      <c r="L7" s="3"/>
      <c r="M7" s="2"/>
      <c r="P7" s="5"/>
    </row>
    <row r="8" spans="1:16">
      <c r="A8" t="s">
        <v>35</v>
      </c>
      <c r="B8" s="1" t="s">
        <v>14</v>
      </c>
      <c r="C8" s="2">
        <v>1200</v>
      </c>
      <c r="D8" s="15">
        <v>8.65</v>
      </c>
      <c r="E8" s="11">
        <v>34</v>
      </c>
      <c r="F8" s="12">
        <v>36.39</v>
      </c>
      <c r="G8" s="12">
        <v>0.55000000000000004</v>
      </c>
      <c r="H8" s="13">
        <v>18.7</v>
      </c>
      <c r="I8" t="s">
        <v>36</v>
      </c>
      <c r="J8" s="17">
        <v>342.8</v>
      </c>
      <c r="K8" s="17">
        <v>-857.2</v>
      </c>
      <c r="L8" s="3"/>
      <c r="M8" s="2"/>
      <c r="P8" s="5"/>
    </row>
    <row r="9" spans="1:16">
      <c r="A9" t="s">
        <v>37</v>
      </c>
      <c r="B9" s="1" t="s">
        <v>18</v>
      </c>
      <c r="C9" s="2">
        <v>1200</v>
      </c>
      <c r="D9" s="15">
        <v>13.98</v>
      </c>
      <c r="E9" s="11">
        <v>14</v>
      </c>
      <c r="F9" s="12">
        <v>79.709999999999994</v>
      </c>
      <c r="G9" s="12">
        <v>1.05</v>
      </c>
      <c r="H9" s="13">
        <v>14.7</v>
      </c>
      <c r="I9" t="s">
        <v>38</v>
      </c>
      <c r="J9" s="17">
        <v>1193.25</v>
      </c>
      <c r="K9" s="17">
        <v>-6.75</v>
      </c>
      <c r="L9" s="3" t="s">
        <v>19</v>
      </c>
      <c r="M9" s="2"/>
      <c r="P9" s="5"/>
    </row>
    <row r="10" spans="1:16">
      <c r="A10" t="s">
        <v>39</v>
      </c>
      <c r="B10" s="1" t="s">
        <v>20</v>
      </c>
      <c r="C10" s="2">
        <v>1200</v>
      </c>
      <c r="D10" s="15">
        <v>13.52</v>
      </c>
      <c r="E10" s="11">
        <v>13</v>
      </c>
      <c r="F10" s="12">
        <v>92.03</v>
      </c>
      <c r="G10" s="12">
        <v>1</v>
      </c>
      <c r="H10" s="13">
        <v>13</v>
      </c>
      <c r="I10" t="s">
        <v>40</v>
      </c>
      <c r="J10" s="17">
        <v>924.6</v>
      </c>
      <c r="K10" s="17">
        <v>-275.39999999999998</v>
      </c>
      <c r="L10" s="3"/>
      <c r="M10" s="2"/>
      <c r="P10" s="5"/>
    </row>
    <row r="11" spans="1:16">
      <c r="A11" t="s">
        <v>41</v>
      </c>
      <c r="B11" s="1" t="s">
        <v>15</v>
      </c>
      <c r="C11" s="2">
        <v>1200</v>
      </c>
      <c r="D11" s="15">
        <v>16.649999999999999</v>
      </c>
      <c r="E11" s="11">
        <v>38</v>
      </c>
      <c r="F11" s="12">
        <v>29.72</v>
      </c>
      <c r="G11" s="12">
        <v>0.34</v>
      </c>
      <c r="H11" s="13">
        <v>12.76</v>
      </c>
      <c r="I11" t="s">
        <v>42</v>
      </c>
      <c r="J11" s="17">
        <v>1223.6199999999999</v>
      </c>
      <c r="K11" s="17">
        <v>23.62</v>
      </c>
      <c r="L11" s="3"/>
      <c r="M11" s="2"/>
      <c r="P11" s="5"/>
    </row>
    <row r="12" spans="1:16">
      <c r="A12" t="s">
        <v>43</v>
      </c>
      <c r="B12" s="1" t="s">
        <v>18</v>
      </c>
      <c r="C12" s="2">
        <v>2400</v>
      </c>
      <c r="D12" s="15">
        <v>12.76</v>
      </c>
      <c r="E12" s="11">
        <v>11</v>
      </c>
      <c r="F12" s="12">
        <v>104.78</v>
      </c>
      <c r="G12" s="12">
        <v>1</v>
      </c>
      <c r="H12" s="13">
        <v>11</v>
      </c>
      <c r="I12" t="s">
        <v>44</v>
      </c>
      <c r="J12" s="17">
        <v>259.5</v>
      </c>
      <c r="K12" s="17">
        <v>-2140.5</v>
      </c>
      <c r="L12" s="3"/>
      <c r="M12" s="2"/>
      <c r="P12" s="5"/>
    </row>
    <row r="13" spans="1:16">
      <c r="A13" t="s">
        <v>45</v>
      </c>
      <c r="B13" s="1" t="s">
        <v>14</v>
      </c>
      <c r="C13" s="2">
        <v>1200</v>
      </c>
      <c r="D13" s="15">
        <v>8.15</v>
      </c>
      <c r="E13" s="11">
        <v>31</v>
      </c>
      <c r="F13" s="12">
        <v>37.99</v>
      </c>
      <c r="G13" s="12">
        <v>0.3</v>
      </c>
      <c r="H13" s="13">
        <v>9.3000000000000007</v>
      </c>
      <c r="I13" t="s">
        <v>46</v>
      </c>
      <c r="J13" s="4" t="s">
        <v>28</v>
      </c>
      <c r="K13" s="17">
        <v>-1200</v>
      </c>
      <c r="L13" s="3"/>
      <c r="M13" s="2"/>
      <c r="P13" s="5"/>
    </row>
    <row r="14" spans="1:16">
      <c r="A14" t="s">
        <v>47</v>
      </c>
      <c r="B14" s="1" t="s">
        <v>21</v>
      </c>
      <c r="C14" s="2">
        <v>1800</v>
      </c>
      <c r="D14" s="15">
        <v>9.2899999999999991</v>
      </c>
      <c r="E14" s="11">
        <v>11</v>
      </c>
      <c r="F14" s="12">
        <v>107.95</v>
      </c>
      <c r="G14" s="12">
        <v>0.81</v>
      </c>
      <c r="H14" s="13">
        <v>8.91</v>
      </c>
      <c r="I14" t="s">
        <v>48</v>
      </c>
      <c r="J14" s="4" t="s">
        <v>28</v>
      </c>
      <c r="K14" s="17">
        <v>-1800</v>
      </c>
      <c r="L14" s="3"/>
      <c r="M14" s="2"/>
      <c r="P14" s="5"/>
    </row>
  </sheetData>
  <autoFilter ref="A1:L14">
    <sortState ref="A2:L14">
      <sortCondition descending="1" ref="H1:H14"/>
    </sortState>
  </autoFilter>
  <conditionalFormatting sqref="K2:K14">
    <cfRule type="cellIs" dxfId="1" priority="1" operator="lessThan">
      <formula>0</formula>
    </cfRule>
    <cfRule type="cellIs" dxfId="0" priority="2" operator="greaterThan">
      <formula>0</formula>
    </cfRule>
  </conditionalFormatting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Carteira Inicial</vt:lpstr>
    </vt:vector>
  </TitlesOfParts>
  <Manager/>
  <Company/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Glaucio M. Pereira</cp:lastModifiedBy>
  <cp:revision/>
  <dcterms:created xsi:type="dcterms:W3CDTF">2025-07-28T04:06:30Z</dcterms:created>
  <dcterms:modified xsi:type="dcterms:W3CDTF">2025-10-23T18:57:33Z</dcterms:modified>
  <cp:category/>
  <cp:contentStatus/>
</cp:coreProperties>
</file>